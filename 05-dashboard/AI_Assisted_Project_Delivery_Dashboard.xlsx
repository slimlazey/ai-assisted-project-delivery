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 Data" sheetId="2" state="visible" r:id="rId4"/>
    <sheet name="RAID Log" sheetId="3" state="visible" r:id="rId5"/>
    <sheet name="AI Workflow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<sst xmlns="http://schemas.openxmlformats.org/spreadsheetml/2006/main" count="368" uniqueCount="168">
  <si>
    <t xml:space="preserve">AI-Assisted Project Delivery — Project Dashboard</t>
  </si>
  <si>
    <t xml:space="preserve">CivicPay Implementation (fictionalized case study) | Project Manager — Delivery &amp; UAT Coordination</t>
  </si>
  <si>
    <t xml:space="preserve">Total Tickets</t>
  </si>
  <si>
    <t xml:space="preserve">Open Tickets</t>
  </si>
  <si>
    <t xml:space="preserve">Closed Tickets</t>
  </si>
  <si>
    <t xml:space="preserve">High Priority</t>
  </si>
  <si>
    <t xml:space="preserve">Overdue</t>
  </si>
  <si>
    <t xml:space="preserve">Blocked</t>
  </si>
  <si>
    <t xml:space="preserve">Post-Go-Live</t>
  </si>
  <si>
    <t xml:space="preserve">Change Requests</t>
  </si>
  <si>
    <t xml:space="preserve">PROJECT HEALTH</t>
  </si>
  <si>
    <t xml:space="preserve">UAT Status</t>
  </si>
  <si>
    <t xml:space="preserve">In Progress</t>
  </si>
  <si>
    <t xml:space="preserve">Overall Attention</t>
  </si>
  <si>
    <t xml:space="preserve">Requires Attention</t>
  </si>
  <si>
    <t xml:space="preserve">Primary Blocker</t>
  </si>
  <si>
    <t xml:space="preserve">Payment gateway sandbox dependency</t>
  </si>
  <si>
    <t xml:space="preserve">Immediate Focus</t>
  </si>
  <si>
    <t xml:space="preserve">Close high-priority &amp; overdue items</t>
  </si>
  <si>
    <t xml:space="preserve">AI-GENERATED WEEKLY PROJECT SUMMARY</t>
  </si>
  <si>
    <t xml:space="preserve">UAT progress is being affected by the pending payment gateway sandbox dependency. Several high-priority and overdue tickets require follow-up with development. Two change requests require validation across development and UAT. Immediate focus should be on resolving blockers, confirming development timelines, completing regression testing, and assessing release readiness.</t>
  </si>
  <si>
    <t xml:space="preserve">PRIORITY ACTIONS</t>
  </si>
  <si>
    <t xml:space="preserve">Status Breakdown</t>
  </si>
  <si>
    <t xml:space="preserve">Action</t>
  </si>
  <si>
    <t xml:space="preserve">Owner</t>
  </si>
  <si>
    <t xml:space="preserve">Priority</t>
  </si>
  <si>
    <t xml:space="preserve">Status</t>
  </si>
  <si>
    <t xml:space="preserve">Count</t>
  </si>
  <si>
    <t xml:space="preserve">Follow up on payment gateway sandbox dependency</t>
  </si>
  <si>
    <t xml:space="preserve">Client / PM</t>
  </si>
  <si>
    <t xml:space="preserve">High</t>
  </si>
  <si>
    <t xml:space="preserve">Open</t>
  </si>
  <si>
    <t xml:space="preserve">Confirm timelines for overdue development tickets</t>
  </si>
  <si>
    <t xml:space="preserve">Development / PM</t>
  </si>
  <si>
    <t xml:space="preserve">Closed</t>
  </si>
  <si>
    <t xml:space="preserve">Validate change-request impact</t>
  </si>
  <si>
    <t xml:space="preserve">PM / Dev / QA</t>
  </si>
  <si>
    <t xml:space="preserve">Complete regression testing</t>
  </si>
  <si>
    <t xml:space="preserve">QA / PM</t>
  </si>
  <si>
    <t xml:space="preserve">Medium</t>
  </si>
  <si>
    <t xml:space="preserve">Review release / go-live readiness</t>
  </si>
  <si>
    <t xml:space="preserve">PM / Client</t>
  </si>
  <si>
    <t xml:space="preserve">Pending</t>
  </si>
  <si>
    <t xml:space="preserve">Ticket ID</t>
  </si>
  <si>
    <t xml:space="preserve">Category</t>
  </si>
  <si>
    <t xml:space="preserve">Dependency</t>
  </si>
  <si>
    <t xml:space="preserve">UAT Impact</t>
  </si>
  <si>
    <t xml:space="preserve">Due Status</t>
  </si>
  <si>
    <t xml:space="preserve">T-001</t>
  </si>
  <si>
    <t xml:space="preserve">Bug</t>
  </si>
  <si>
    <t xml:space="preserve">Development</t>
  </si>
  <si>
    <t xml:space="preserve">None</t>
  </si>
  <si>
    <t xml:space="preserve">Retest required</t>
  </si>
  <si>
    <t xml:space="preserve">T-002</t>
  </si>
  <si>
    <t xml:space="preserve">Client clarification</t>
  </si>
  <si>
    <t xml:space="preserve">T-003</t>
  </si>
  <si>
    <t xml:space="preserve">On Track</t>
  </si>
  <si>
    <t xml:space="preserve">T-004</t>
  </si>
  <si>
    <t xml:space="preserve">Normal</t>
  </si>
  <si>
    <t xml:space="preserve">T-005</t>
  </si>
  <si>
    <t xml:space="preserve">Change Request</t>
  </si>
  <si>
    <t xml:space="preserve">PM / Dev</t>
  </si>
  <si>
    <t xml:space="preserve">Client confirmation</t>
  </si>
  <si>
    <t xml:space="preserve">Required</t>
  </si>
  <si>
    <t xml:space="preserve">T-006</t>
  </si>
  <si>
    <t xml:space="preserve">Payment gateway sandbox</t>
  </si>
  <si>
    <t xml:space="preserve">T-007</t>
  </si>
  <si>
    <t xml:space="preserve">T-008</t>
  </si>
  <si>
    <t xml:space="preserve">T-009</t>
  </si>
  <si>
    <t xml:space="preserve">T-010</t>
  </si>
  <si>
    <t xml:space="preserve">T-011</t>
  </si>
  <si>
    <t xml:space="preserve">T-012</t>
  </si>
  <si>
    <t xml:space="preserve">T-013</t>
  </si>
  <si>
    <t xml:space="preserve">T-014</t>
  </si>
  <si>
    <t xml:space="preserve">T-015</t>
  </si>
  <si>
    <t xml:space="preserve">T-016</t>
  </si>
  <si>
    <t xml:space="preserve">T-017</t>
  </si>
  <si>
    <t xml:space="preserve">T-018</t>
  </si>
  <si>
    <t xml:space="preserve">T-019</t>
  </si>
  <si>
    <t xml:space="preserve">T-020</t>
  </si>
  <si>
    <t xml:space="preserve">T-021</t>
  </si>
  <si>
    <t xml:space="preserve">T-022</t>
  </si>
  <si>
    <t xml:space="preserve">ID</t>
  </si>
  <si>
    <t xml:space="preserve">Type</t>
  </si>
  <si>
    <t xml:space="preserve">Description</t>
  </si>
  <si>
    <t xml:space="preserve">Impact</t>
  </si>
  <si>
    <t xml:space="preserve">Action / Mitigation</t>
  </si>
  <si>
    <t xml:space="preserve">R-001</t>
  </si>
  <si>
    <t xml:space="preserve">Risk</t>
  </si>
  <si>
    <t xml:space="preserve">Payment gateway sandbox availability delays end-to-end testing.</t>
  </si>
  <si>
    <t xml:space="preserve">Timeline</t>
  </si>
  <si>
    <t xml:space="preserve">PM</t>
  </si>
  <si>
    <t xml:space="preserve">Escalated to vendor for a dedicated test window.</t>
  </si>
  <si>
    <t xml:space="preserve">R-002</t>
  </si>
  <si>
    <t xml:space="preserve">Municipal staff UAT participants have limited availability during tax season.</t>
  </si>
  <si>
    <t xml:space="preserve">Scheduled short UAT blocks around peak hours.</t>
  </si>
  <si>
    <t xml:space="preserve">R-003</t>
  </si>
  <si>
    <t xml:space="preserve">Scope creep from informal client requests outside written requirements.</t>
  </si>
  <si>
    <t xml:space="preserve">Scope</t>
  </si>
  <si>
    <t xml:space="preserve">All new asks routed through formal change request process.</t>
  </si>
  <si>
    <t xml:space="preserve">A-001</t>
  </si>
  <si>
    <t xml:space="preserve">Assumption</t>
  </si>
  <si>
    <t xml:space="preserve">Client will provide test resident accounts with representative billing data.</t>
  </si>
  <si>
    <t xml:space="preserve">Delivery</t>
  </si>
  <si>
    <t xml:space="preserve">Project Team</t>
  </si>
  <si>
    <t xml:space="preserve">Monitor against tracker.</t>
  </si>
  <si>
    <t xml:space="preserve">Active</t>
  </si>
  <si>
    <t xml:space="preserve">A-002</t>
  </si>
  <si>
    <t xml:space="preserve">Payment gateway vendor SLAs remain stable through the engagement.</t>
  </si>
  <si>
    <t xml:space="preserve">Confirm before go-live.</t>
  </si>
  <si>
    <t xml:space="preserve">A-003</t>
  </si>
  <si>
    <t xml:space="preserve">Municipal staff assigned to UAT have authority to sign off on defect severity.</t>
  </si>
  <si>
    <t xml:space="preserve">Confirm at UAT kickoff.</t>
  </si>
  <si>
    <t xml:space="preserve">I-001</t>
  </si>
  <si>
    <t xml:space="preserve">Issue</t>
  </si>
  <si>
    <t xml:space="preserve">Autopay confirmation emails delayed under load in staging.</t>
  </si>
  <si>
    <t xml:space="preserve">Quality</t>
  </si>
  <si>
    <t xml:space="preserve">Raised, fixed, retested.</t>
  </si>
  <si>
    <t xml:space="preserve">Resolved</t>
  </si>
  <si>
    <t xml:space="preserve">I-002</t>
  </si>
  <si>
    <t xml:space="preserve">Admin console report export timing out for large date ranges.</t>
  </si>
  <si>
    <t xml:space="preserve">UAT</t>
  </si>
  <si>
    <t xml:space="preserve">Track fix and retest.</t>
  </si>
  <si>
    <t xml:space="preserve">I-003</t>
  </si>
  <si>
    <t xml:space="preserve">Ambiguity in late-fee calculation rules surfaced late in requirements.</t>
  </si>
  <si>
    <t xml:space="preserve">Resolved via clarification meeting.</t>
  </si>
  <si>
    <t xml:space="preserve">I-004</t>
  </si>
  <si>
    <t xml:space="preserve">Duplicate resident account creation possible under a specific edge case.</t>
  </si>
  <si>
    <t xml:space="preserve">Raise, track, retest.</t>
  </si>
  <si>
    <t xml:space="preserve">D-001</t>
  </si>
  <si>
    <t xml:space="preserve">Payment gateway vendor sandbox credentials.</t>
  </si>
  <si>
    <t xml:space="preserve">External Vendor</t>
  </si>
  <si>
    <t xml:space="preserve">Follow up for required asset.</t>
  </si>
  <si>
    <t xml:space="preserve">D-002</t>
  </si>
  <si>
    <t xml:space="preserve">Legacy billing data export for account matching.</t>
  </si>
  <si>
    <t xml:space="preserve">Migration Vendor</t>
  </si>
  <si>
    <t xml:space="preserve">Track pending export.</t>
  </si>
  <si>
    <t xml:space="preserve">D-003</t>
  </si>
  <si>
    <t xml:space="preserve">Municipal staff availability for UAT sign-off.</t>
  </si>
  <si>
    <t xml:space="preserve">Client</t>
  </si>
  <si>
    <t xml:space="preserve">Confirm schedule.</t>
  </si>
  <si>
    <t xml:space="preserve">D-004</t>
  </si>
  <si>
    <t xml:space="preserve">SSL certificate provisioning for go-live domain.</t>
  </si>
  <si>
    <t xml:space="preserve">Release</t>
  </si>
  <si>
    <t xml:space="preserve">Client IT</t>
  </si>
  <si>
    <t xml:space="preserve">D-005</t>
  </si>
  <si>
    <t xml:space="preserve">Final branding assets for resident portal.</t>
  </si>
  <si>
    <t xml:space="preserve">Client Marketing</t>
  </si>
  <si>
    <t xml:space="preserve">Workflow</t>
  </si>
  <si>
    <t xml:space="preserve">Input</t>
  </si>
  <si>
    <t xml:space="preserve">AI Output</t>
  </si>
  <si>
    <t xml:space="preserve">PM Validation</t>
  </si>
  <si>
    <t xml:space="preserve">Final Action</t>
  </si>
  <si>
    <t xml:space="preserve">Change Impact Analysis</t>
  </si>
  <si>
    <t xml:space="preserve">Client change request</t>
  </si>
  <si>
    <t xml:space="preserve">Impacted modules, risks, dependencies, regression areas</t>
  </si>
  <si>
    <t xml:space="preserve">Validate business rules and assumptions with client</t>
  </si>
  <si>
    <t xml:space="preserve">Final requirement / Jira / UAT cases</t>
  </si>
  <si>
    <t xml:space="preserve">Meeting Assistant</t>
  </si>
  <si>
    <t xml:space="preserve">Meeting notes</t>
  </si>
  <si>
    <t xml:space="preserve">Decisions, actions, owners, deadlines, dependencies</t>
  </si>
  <si>
    <t xml:space="preserve">Verify decisions, owners and deadlines were actually stated</t>
  </si>
  <si>
    <t xml:space="preserve">Action tracker / Jira / UAT follow-ups</t>
  </si>
  <si>
    <t xml:space="preserve">Risk Analysis</t>
  </si>
  <si>
    <t xml:space="preserve">Requirements, dependencies, change requests</t>
  </si>
  <si>
    <t xml:space="preserve">Candidate risks with rationale</t>
  </si>
  <si>
    <t xml:space="preserve">Assign impact, owner and mitigation</t>
  </si>
  <si>
    <t xml:space="preserve">Logged as active risk in RAID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</si>
</sst>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E5E7EB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22"/>
      <color rgb="FF1F293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FF6FF"/>
        <bgColor rgb="FFF3F4F6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9F9F9"/>
      </patternFill>
    </fill>
    <fill>
      <patternFill patternType="solid">
        <fgColor rgb="FFF3F4F6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Dashboard!$H$24:$H$26</c:f>
              <c:strCache>
                <c:ptCount val="3"/>
                <c:pt idx="0">
                  <c:v>Open</c:v>
                </c:pt>
                <c:pt idx="1">
                  <c:v>Closed</c:v>
                </c:pt>
                <c:pt idx="2">
                  <c:v>Post-Go-Live</c:v>
                </c:pt>
              </c:strCache>
            </c:strRef>
          </c:cat>
          <c:val>
            <c:numRef>
              <c:f>Dashboard!$I$24:$I$26</c:f>
              <c:numCache>
                <c:formatCode>General</c:formatCode>
                <c:ptCount val="3"/>
                <c:pt idx="0">
                  <c:v>15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48911038"/>
        <c:axId val="13308339"/>
      </c:barChart>
      <c:catAx>
        <c:axId val="48911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08339"/>
        <c:crosses val="autoZero"/>
        <c:auto val="1"/>
        <c:lblAlgn val="ctr"/>
        <c:lblOffset val="100"/>
        <c:noMultiLvlLbl val="0"/>
      </c:catAx>
      <c:valAx>
        <c:axId val="13308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110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27</xdr:row>
      <xdr:rowOff>0</xdr:rowOff>
    </xdr:from>
    <xdr:to>
      <xdr:col>13</xdr:col>
      <xdr:colOff>73440</xdr:colOff>
      <xdr:row>40</xdr:row>
      <xdr:rowOff>43200</xdr:rowOff>
    </xdr:to>
    <xdr:graphicFrame>
      <xdr:nvGraphicFramePr>
        <xdr:cNvPr id="0" name="Chart 1"/>
        <xdr:cNvGraphicFramePr/>
      </xdr:nvGraphicFramePr>
      <xdr:xfrm>
        <a:off x="4511160" y="58960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IWorkflows" displayName="AIWorkflows" ref="A1:E4" headerRowCount="1" totalsRowCount="0" totalsRowShown="0">
  <autoFilter ref="A1:E4"/>
  <tableColumns count="5">
    <tableColumn id="1" name="Workflow"/>
    <tableColumn id="2" name="Input"/>
    <tableColumn id="3" name="AI Output"/>
    <tableColumn id="4" name="PM Validation"/>
    <tableColumn id="5" name="Final Action"/>
  </tableColumns>
</table>
</file>

<file path=xl/tables/table2.xml><?xml version="1.0" encoding="utf-8"?>
<table xmlns="http://schemas.openxmlformats.org/spreadsheetml/2006/main" id="2" name="ProjectData" displayName="ProjectData" ref="A1:H23" headerRowCount="1" totalsRowCount="0" totalsRowShown="0">
  <autoFilter ref="A1:H23"/>
  <tableColumns count="8">
    <tableColumn id="1" name="Ticket ID"/>
    <tableColumn id="2" name="Category"/>
    <tableColumn id="3" name="Priority"/>
    <tableColumn id="4" name="Status"/>
    <tableColumn id="5" name="Owner"/>
    <tableColumn id="6" name="Dependency"/>
    <tableColumn id="7" name="UAT Impact"/>
    <tableColumn id="8" name="Due Status"/>
  </tableColumns>
</table>
</file>

<file path=xl/tables/table3.xml><?xml version="1.0" encoding="utf-8"?>
<table xmlns="http://schemas.openxmlformats.org/spreadsheetml/2006/main" id="3" name="RAIDLog" displayName="RAIDLog" ref="A1:G16" headerRowCount="1" totalsRowCount="0" totalsRowShown="0">
  <autoFilter ref="A1:G16"/>
  <tableColumns count="7">
    <tableColumn id="1" name="ID"/>
    <tableColumn id="2" name="Type"/>
    <tableColumn id="3" name="Description"/>
    <tableColumn id="4" name="Impact"/>
    <tableColumn id="5" name="Owner"/>
    <tableColumn id="6" name="Action / Mitigation"/>
    <tableColumn id="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10" min="9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3" t="s">
        <v>2</v>
      </c>
      <c r="D4" s="3" t="s">
        <v>3</v>
      </c>
      <c r="F4" s="3" t="s">
        <v>4</v>
      </c>
      <c r="H4" s="3" t="s">
        <v>5</v>
      </c>
    </row>
    <row r="5" customFormat="false" ht="30" hidden="false" customHeight="true" outlineLevel="0" collapsed="false">
      <c r="B5" s="4" t="n">
        <f aca="false">COUNTA('Project Data'!A2:A100)</f>
        <v>22</v>
      </c>
      <c r="D5" s="4" t="n">
        <f aca="false">COUNTIF('Project Data'!D:D,"Open")</f>
        <v>15</v>
      </c>
      <c r="F5" s="4" t="n">
        <f aca="false">COUNTIF('Project Data'!D:D,"Closed")</f>
        <v>7</v>
      </c>
      <c r="H5" s="4" t="n">
        <f aca="false">COUNTIF('Project Data'!C:C,"High")</f>
        <v>10</v>
      </c>
    </row>
    <row r="7" customFormat="false" ht="15" hidden="false" customHeight="false" outlineLevel="0" collapsed="false">
      <c r="B7" s="3" t="s">
        <v>6</v>
      </c>
      <c r="D7" s="3" t="s">
        <v>7</v>
      </c>
      <c r="F7" s="3" t="s">
        <v>8</v>
      </c>
      <c r="H7" s="3" t="s">
        <v>9</v>
      </c>
    </row>
    <row r="8" customFormat="false" ht="30" hidden="false" customHeight="true" outlineLevel="0" collapsed="false">
      <c r="B8" s="4" t="n">
        <f aca="false">COUNTIF('Project Data'!H:H,"Overdue")</f>
        <v>3</v>
      </c>
      <c r="D8" s="4" t="n">
        <f aca="false">COUNTIF('Project Data'!G:G,"Blocked")</f>
        <v>2</v>
      </c>
      <c r="F8" s="4" t="n">
        <f aca="false">COUNTIF('Project Data'!B:B,"Post-Go-Live")</f>
        <v>1</v>
      </c>
      <c r="H8" s="4" t="n">
        <f aca="false">COUNTIF('Project Data'!B:B,"Change Request")</f>
        <v>2</v>
      </c>
    </row>
    <row r="11" customFormat="false" ht="19.5" hidden="false" customHeight="true" outlineLevel="0" collapsed="false">
      <c r="A11" s="5" t="s">
        <v>10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6" t="s">
        <v>11</v>
      </c>
      <c r="B12" s="7" t="s">
        <v>12</v>
      </c>
      <c r="C12" s="7"/>
      <c r="D12" s="7"/>
    </row>
    <row r="13" customFormat="false" ht="15" hidden="false" customHeight="false" outlineLevel="0" collapsed="false">
      <c r="A13" s="6" t="s">
        <v>13</v>
      </c>
      <c r="B13" s="7" t="s">
        <v>14</v>
      </c>
      <c r="C13" s="7"/>
      <c r="D13" s="7"/>
    </row>
    <row r="14" customFormat="false" ht="15" hidden="false" customHeight="false" outlineLevel="0" collapsed="false">
      <c r="A14" s="6" t="s">
        <v>15</v>
      </c>
      <c r="B14" s="7" t="s">
        <v>16</v>
      </c>
      <c r="C14" s="7"/>
      <c r="D14" s="7"/>
    </row>
    <row r="15" customFormat="false" ht="15" hidden="false" customHeight="false" outlineLevel="0" collapsed="false">
      <c r="A15" s="6" t="s">
        <v>17</v>
      </c>
      <c r="B15" s="7" t="s">
        <v>18</v>
      </c>
      <c r="C15" s="7"/>
      <c r="D15" s="7"/>
    </row>
    <row r="17" customFormat="false" ht="19.5" hidden="false" customHeight="true" outlineLevel="0" collapsed="false">
      <c r="A17" s="5" t="s">
        <v>19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.75" hidden="false" customHeight="true" outlineLevel="0" collapsed="false">
      <c r="A18" s="8" t="s">
        <v>20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.7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.7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2" customFormat="false" ht="19.5" hidden="false" customHeight="true" outlineLevel="0" collapsed="false">
      <c r="A22" s="5" t="s">
        <v>21</v>
      </c>
      <c r="B22" s="5"/>
      <c r="C22" s="5"/>
      <c r="D22" s="5"/>
      <c r="E22" s="5"/>
      <c r="F22" s="5"/>
      <c r="H22" s="5" t="s">
        <v>22</v>
      </c>
      <c r="I22" s="5"/>
    </row>
    <row r="23" customFormat="false" ht="15" hidden="false" customHeight="false" outlineLevel="0" collapsed="false">
      <c r="A23" s="9" t="s">
        <v>23</v>
      </c>
      <c r="B23" s="9" t="s">
        <v>24</v>
      </c>
      <c r="C23" s="9" t="s">
        <v>25</v>
      </c>
      <c r="D23" s="9" t="s">
        <v>26</v>
      </c>
      <c r="H23" s="10" t="s">
        <v>26</v>
      </c>
      <c r="I23" s="10" t="s">
        <v>27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H24" s="12" t="s">
        <v>31</v>
      </c>
      <c r="I24" s="12" t="n">
        <f aca="false">COUNTIF('Project Data'!D:D,"Open")</f>
        <v>15</v>
      </c>
    </row>
    <row r="25" customFormat="false" ht="15" hidden="false" customHeight="false" outlineLevel="0" collapsed="false">
      <c r="A25" s="13" t="s">
        <v>32</v>
      </c>
      <c r="B25" s="13" t="s">
        <v>33</v>
      </c>
      <c r="C25" s="13" t="s">
        <v>30</v>
      </c>
      <c r="D25" s="13" t="s">
        <v>31</v>
      </c>
      <c r="H25" s="12" t="s">
        <v>34</v>
      </c>
      <c r="I25" s="12" t="n">
        <f aca="false">COUNTIF('Project Data'!D:D,"Closed")</f>
        <v>7</v>
      </c>
    </row>
    <row r="26" customFormat="false" ht="15" hidden="false" customHeight="false" outlineLevel="0" collapsed="false">
      <c r="A26" s="11" t="s">
        <v>35</v>
      </c>
      <c r="B26" s="11" t="s">
        <v>36</v>
      </c>
      <c r="C26" s="11" t="s">
        <v>30</v>
      </c>
      <c r="D26" s="11" t="s">
        <v>12</v>
      </c>
      <c r="H26" s="12" t="s">
        <v>8</v>
      </c>
      <c r="I26" s="12" t="n">
        <f aca="false">COUNTIF('Project Data'!B:B,"Post-Go-Live")</f>
        <v>1</v>
      </c>
    </row>
    <row r="27" customFormat="false" ht="15" hidden="false" customHeight="false" outlineLevel="0" collapsed="false">
      <c r="A27" s="13" t="s">
        <v>37</v>
      </c>
      <c r="B27" s="13" t="s">
        <v>38</v>
      </c>
      <c r="C27" s="13" t="s">
        <v>39</v>
      </c>
      <c r="D27" s="13" t="s">
        <v>31</v>
      </c>
    </row>
    <row r="28" customFormat="false" ht="15" hidden="false" customHeight="false" outlineLevel="0" collapsed="false">
      <c r="A28" s="11" t="s">
        <v>40</v>
      </c>
      <c r="B28" s="11" t="s">
        <v>41</v>
      </c>
      <c r="C28" s="11" t="s">
        <v>30</v>
      </c>
      <c r="D28" s="11" t="s">
        <v>42</v>
      </c>
    </row>
  </sheetData>
  <mergeCells count="11">
    <mergeCell ref="A1:J1"/>
    <mergeCell ref="A2:J2"/>
    <mergeCell ref="A11:J11"/>
    <mergeCell ref="B12:D12"/>
    <mergeCell ref="B13:D13"/>
    <mergeCell ref="B14:D14"/>
    <mergeCell ref="B15:D15"/>
    <mergeCell ref="A17:J17"/>
    <mergeCell ref="A18:J20"/>
    <mergeCell ref="A22:F22"/>
    <mergeCell ref="H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4" t="s">
        <v>43</v>
      </c>
      <c r="B1" s="14" t="s">
        <v>44</v>
      </c>
      <c r="C1" s="14" t="s">
        <v>25</v>
      </c>
      <c r="D1" s="14" t="s">
        <v>26</v>
      </c>
      <c r="E1" s="14" t="s">
        <v>24</v>
      </c>
      <c r="F1" s="14" t="s">
        <v>45</v>
      </c>
      <c r="G1" s="14" t="s">
        <v>46</v>
      </c>
      <c r="H1" s="14" t="s">
        <v>47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30</v>
      </c>
      <c r="D2" s="11" t="s">
        <v>31</v>
      </c>
      <c r="E2" s="11" t="s">
        <v>50</v>
      </c>
      <c r="F2" s="11" t="s">
        <v>51</v>
      </c>
      <c r="G2" s="11" t="s">
        <v>52</v>
      </c>
      <c r="H2" s="11" t="s">
        <v>6</v>
      </c>
    </row>
    <row r="3" customFormat="false" ht="15" hidden="false" customHeight="false" outlineLevel="0" collapsed="false">
      <c r="A3" s="13" t="s">
        <v>53</v>
      </c>
      <c r="B3" s="13" t="s">
        <v>49</v>
      </c>
      <c r="C3" s="13" t="s">
        <v>30</v>
      </c>
      <c r="D3" s="13" t="s">
        <v>31</v>
      </c>
      <c r="E3" s="13" t="s">
        <v>50</v>
      </c>
      <c r="F3" s="13" t="s">
        <v>54</v>
      </c>
      <c r="G3" s="13" t="s">
        <v>7</v>
      </c>
      <c r="H3" s="13" t="s">
        <v>6</v>
      </c>
    </row>
    <row r="4" customFormat="false" ht="15" hidden="false" customHeight="false" outlineLevel="0" collapsed="false">
      <c r="A4" s="11" t="s">
        <v>55</v>
      </c>
      <c r="B4" s="11" t="s">
        <v>49</v>
      </c>
      <c r="C4" s="11" t="s">
        <v>30</v>
      </c>
      <c r="D4" s="11" t="s">
        <v>31</v>
      </c>
      <c r="E4" s="11" t="s">
        <v>50</v>
      </c>
      <c r="F4" s="11" t="s">
        <v>51</v>
      </c>
      <c r="G4" s="11" t="s">
        <v>52</v>
      </c>
      <c r="H4" s="11" t="s">
        <v>56</v>
      </c>
    </row>
    <row r="5" customFormat="false" ht="15" hidden="false" customHeight="false" outlineLevel="0" collapsed="false">
      <c r="A5" s="13" t="s">
        <v>57</v>
      </c>
      <c r="B5" s="13" t="s">
        <v>49</v>
      </c>
      <c r="C5" s="13" t="s">
        <v>58</v>
      </c>
      <c r="D5" s="13" t="s">
        <v>34</v>
      </c>
      <c r="E5" s="13" t="s">
        <v>50</v>
      </c>
      <c r="F5" s="13" t="s">
        <v>51</v>
      </c>
      <c r="G5" s="13" t="s">
        <v>34</v>
      </c>
      <c r="H5" s="13" t="s">
        <v>56</v>
      </c>
    </row>
    <row r="6" customFormat="false" ht="15" hidden="false" customHeight="false" outlineLevel="0" collapsed="false">
      <c r="A6" s="11" t="s">
        <v>59</v>
      </c>
      <c r="B6" s="11" t="s">
        <v>60</v>
      </c>
      <c r="C6" s="11" t="s">
        <v>30</v>
      </c>
      <c r="D6" s="11" t="s">
        <v>31</v>
      </c>
      <c r="E6" s="11" t="s">
        <v>61</v>
      </c>
      <c r="F6" s="11" t="s">
        <v>62</v>
      </c>
      <c r="G6" s="11" t="s">
        <v>63</v>
      </c>
      <c r="H6" s="11" t="s">
        <v>56</v>
      </c>
    </row>
    <row r="7" customFormat="false" ht="15" hidden="false" customHeight="false" outlineLevel="0" collapsed="false">
      <c r="A7" s="13" t="s">
        <v>64</v>
      </c>
      <c r="B7" s="13" t="s">
        <v>49</v>
      </c>
      <c r="C7" s="13" t="s">
        <v>30</v>
      </c>
      <c r="D7" s="13" t="s">
        <v>31</v>
      </c>
      <c r="E7" s="13" t="s">
        <v>50</v>
      </c>
      <c r="F7" s="13" t="s">
        <v>65</v>
      </c>
      <c r="G7" s="13" t="s">
        <v>7</v>
      </c>
      <c r="H7" s="13" t="s">
        <v>6</v>
      </c>
    </row>
    <row r="8" customFormat="false" ht="15" hidden="false" customHeight="false" outlineLevel="0" collapsed="false">
      <c r="A8" s="11" t="s">
        <v>66</v>
      </c>
      <c r="B8" s="11" t="s">
        <v>49</v>
      </c>
      <c r="C8" s="11" t="s">
        <v>58</v>
      </c>
      <c r="D8" s="11" t="s">
        <v>34</v>
      </c>
      <c r="E8" s="11" t="s">
        <v>50</v>
      </c>
      <c r="F8" s="11" t="s">
        <v>51</v>
      </c>
      <c r="G8" s="11" t="s">
        <v>34</v>
      </c>
      <c r="H8" s="11" t="s">
        <v>56</v>
      </c>
    </row>
    <row r="9" customFormat="false" ht="15" hidden="false" customHeight="false" outlineLevel="0" collapsed="false">
      <c r="A9" s="13" t="s">
        <v>67</v>
      </c>
      <c r="B9" s="13" t="s">
        <v>49</v>
      </c>
      <c r="C9" s="13" t="s">
        <v>30</v>
      </c>
      <c r="D9" s="13" t="s">
        <v>31</v>
      </c>
      <c r="E9" s="13" t="s">
        <v>50</v>
      </c>
      <c r="F9" s="13" t="s">
        <v>51</v>
      </c>
      <c r="G9" s="13" t="s">
        <v>52</v>
      </c>
      <c r="H9" s="13" t="s">
        <v>56</v>
      </c>
    </row>
    <row r="10" customFormat="false" ht="15" hidden="false" customHeight="false" outlineLevel="0" collapsed="false">
      <c r="A10" s="11" t="s">
        <v>68</v>
      </c>
      <c r="B10" s="11" t="s">
        <v>60</v>
      </c>
      <c r="C10" s="11" t="s">
        <v>39</v>
      </c>
      <c r="D10" s="11" t="s">
        <v>31</v>
      </c>
      <c r="E10" s="11" t="s">
        <v>61</v>
      </c>
      <c r="F10" s="11" t="s">
        <v>62</v>
      </c>
      <c r="G10" s="11" t="s">
        <v>63</v>
      </c>
      <c r="H10" s="11" t="s">
        <v>56</v>
      </c>
    </row>
    <row r="11" customFormat="false" ht="15" hidden="false" customHeight="false" outlineLevel="0" collapsed="false">
      <c r="A11" s="13" t="s">
        <v>69</v>
      </c>
      <c r="B11" s="13" t="s">
        <v>49</v>
      </c>
      <c r="C11" s="13" t="s">
        <v>58</v>
      </c>
      <c r="D11" s="13" t="s">
        <v>34</v>
      </c>
      <c r="E11" s="13" t="s">
        <v>50</v>
      </c>
      <c r="F11" s="13" t="s">
        <v>51</v>
      </c>
      <c r="G11" s="13" t="s">
        <v>34</v>
      </c>
      <c r="H11" s="13" t="s">
        <v>56</v>
      </c>
    </row>
    <row r="12" customFormat="false" ht="15" hidden="false" customHeight="false" outlineLevel="0" collapsed="false">
      <c r="A12" s="11" t="s">
        <v>70</v>
      </c>
      <c r="B12" s="11" t="s">
        <v>49</v>
      </c>
      <c r="C12" s="11" t="s">
        <v>30</v>
      </c>
      <c r="D12" s="11" t="s">
        <v>31</v>
      </c>
      <c r="E12" s="11" t="s">
        <v>50</v>
      </c>
      <c r="F12" s="11" t="s">
        <v>51</v>
      </c>
      <c r="G12" s="11" t="s">
        <v>52</v>
      </c>
      <c r="H12" s="11" t="s">
        <v>56</v>
      </c>
    </row>
    <row r="13" customFormat="false" ht="15" hidden="false" customHeight="false" outlineLevel="0" collapsed="false">
      <c r="A13" s="13" t="s">
        <v>71</v>
      </c>
      <c r="B13" s="13" t="s">
        <v>49</v>
      </c>
      <c r="C13" s="13" t="s">
        <v>58</v>
      </c>
      <c r="D13" s="13" t="s">
        <v>31</v>
      </c>
      <c r="E13" s="13" t="s">
        <v>50</v>
      </c>
      <c r="F13" s="13" t="s">
        <v>51</v>
      </c>
      <c r="G13" s="13" t="s">
        <v>63</v>
      </c>
      <c r="H13" s="13" t="s">
        <v>56</v>
      </c>
    </row>
    <row r="14" customFormat="false" ht="15" hidden="false" customHeight="false" outlineLevel="0" collapsed="false">
      <c r="A14" s="11" t="s">
        <v>72</v>
      </c>
      <c r="B14" s="11" t="s">
        <v>49</v>
      </c>
      <c r="C14" s="11" t="s">
        <v>30</v>
      </c>
      <c r="D14" s="11" t="s">
        <v>31</v>
      </c>
      <c r="E14" s="11" t="s">
        <v>50</v>
      </c>
      <c r="F14" s="11" t="s">
        <v>51</v>
      </c>
      <c r="G14" s="11" t="s">
        <v>52</v>
      </c>
      <c r="H14" s="11" t="s">
        <v>56</v>
      </c>
    </row>
    <row r="15" customFormat="false" ht="15" hidden="false" customHeight="false" outlineLevel="0" collapsed="false">
      <c r="A15" s="13" t="s">
        <v>73</v>
      </c>
      <c r="B15" s="13" t="s">
        <v>49</v>
      </c>
      <c r="C15" s="13" t="s">
        <v>58</v>
      </c>
      <c r="D15" s="13" t="s">
        <v>34</v>
      </c>
      <c r="E15" s="13" t="s">
        <v>50</v>
      </c>
      <c r="F15" s="13" t="s">
        <v>51</v>
      </c>
      <c r="G15" s="13" t="s">
        <v>34</v>
      </c>
      <c r="H15" s="13" t="s">
        <v>56</v>
      </c>
    </row>
    <row r="16" customFormat="false" ht="15" hidden="false" customHeight="false" outlineLevel="0" collapsed="false">
      <c r="A16" s="11" t="s">
        <v>74</v>
      </c>
      <c r="B16" s="11" t="s">
        <v>49</v>
      </c>
      <c r="C16" s="11" t="s">
        <v>58</v>
      </c>
      <c r="D16" s="11" t="s">
        <v>34</v>
      </c>
      <c r="E16" s="11" t="s">
        <v>50</v>
      </c>
      <c r="F16" s="11" t="s">
        <v>51</v>
      </c>
      <c r="G16" s="11" t="s">
        <v>34</v>
      </c>
      <c r="H16" s="11" t="s">
        <v>56</v>
      </c>
    </row>
    <row r="17" customFormat="false" ht="15" hidden="false" customHeight="false" outlineLevel="0" collapsed="false">
      <c r="A17" s="13" t="s">
        <v>75</v>
      </c>
      <c r="B17" s="13" t="s">
        <v>49</v>
      </c>
      <c r="C17" s="13" t="s">
        <v>30</v>
      </c>
      <c r="D17" s="13" t="s">
        <v>31</v>
      </c>
      <c r="E17" s="13" t="s">
        <v>50</v>
      </c>
      <c r="F17" s="13" t="s">
        <v>51</v>
      </c>
      <c r="G17" s="13" t="s">
        <v>52</v>
      </c>
      <c r="H17" s="13" t="s">
        <v>56</v>
      </c>
    </row>
    <row r="18" customFormat="false" ht="15" hidden="false" customHeight="false" outlineLevel="0" collapsed="false">
      <c r="A18" s="11" t="s">
        <v>76</v>
      </c>
      <c r="B18" s="11" t="s">
        <v>49</v>
      </c>
      <c r="C18" s="11" t="s">
        <v>58</v>
      </c>
      <c r="D18" s="11" t="s">
        <v>31</v>
      </c>
      <c r="E18" s="11" t="s">
        <v>50</v>
      </c>
      <c r="F18" s="11" t="s">
        <v>51</v>
      </c>
      <c r="G18" s="11" t="s">
        <v>63</v>
      </c>
      <c r="H18" s="11" t="s">
        <v>56</v>
      </c>
    </row>
    <row r="19" customFormat="false" ht="15" hidden="false" customHeight="false" outlineLevel="0" collapsed="false">
      <c r="A19" s="13" t="s">
        <v>77</v>
      </c>
      <c r="B19" s="13" t="s">
        <v>49</v>
      </c>
      <c r="C19" s="13" t="s">
        <v>58</v>
      </c>
      <c r="D19" s="13" t="s">
        <v>34</v>
      </c>
      <c r="E19" s="13" t="s">
        <v>50</v>
      </c>
      <c r="F19" s="13" t="s">
        <v>51</v>
      </c>
      <c r="G19" s="13" t="s">
        <v>34</v>
      </c>
      <c r="H19" s="13" t="s">
        <v>56</v>
      </c>
    </row>
    <row r="20" customFormat="false" ht="15" hidden="false" customHeight="false" outlineLevel="0" collapsed="false">
      <c r="A20" s="11" t="s">
        <v>78</v>
      </c>
      <c r="B20" s="11" t="s">
        <v>49</v>
      </c>
      <c r="C20" s="11" t="s">
        <v>58</v>
      </c>
      <c r="D20" s="11" t="s">
        <v>34</v>
      </c>
      <c r="E20" s="11" t="s">
        <v>50</v>
      </c>
      <c r="F20" s="11" t="s">
        <v>51</v>
      </c>
      <c r="G20" s="11" t="s">
        <v>34</v>
      </c>
      <c r="H20" s="11" t="s">
        <v>56</v>
      </c>
    </row>
    <row r="21" customFormat="false" ht="15" hidden="false" customHeight="false" outlineLevel="0" collapsed="false">
      <c r="A21" s="13" t="s">
        <v>79</v>
      </c>
      <c r="B21" s="13" t="s">
        <v>49</v>
      </c>
      <c r="C21" s="13" t="s">
        <v>58</v>
      </c>
      <c r="D21" s="13" t="s">
        <v>31</v>
      </c>
      <c r="E21" s="13" t="s">
        <v>50</v>
      </c>
      <c r="F21" s="13" t="s">
        <v>51</v>
      </c>
      <c r="G21" s="13" t="s">
        <v>63</v>
      </c>
      <c r="H21" s="13" t="s">
        <v>56</v>
      </c>
    </row>
    <row r="22" customFormat="false" ht="15" hidden="false" customHeight="false" outlineLevel="0" collapsed="false">
      <c r="A22" s="11" t="s">
        <v>80</v>
      </c>
      <c r="B22" s="11" t="s">
        <v>8</v>
      </c>
      <c r="C22" s="11" t="s">
        <v>58</v>
      </c>
      <c r="D22" s="11" t="s">
        <v>31</v>
      </c>
      <c r="E22" s="11" t="s">
        <v>50</v>
      </c>
      <c r="F22" s="11" t="s">
        <v>51</v>
      </c>
      <c r="G22" s="11" t="s">
        <v>8</v>
      </c>
      <c r="H22" s="11" t="s">
        <v>56</v>
      </c>
    </row>
    <row r="23" customFormat="false" ht="15" hidden="false" customHeight="false" outlineLevel="0" collapsed="false">
      <c r="A23" s="13" t="s">
        <v>81</v>
      </c>
      <c r="B23" s="13" t="s">
        <v>49</v>
      </c>
      <c r="C23" s="13" t="s">
        <v>30</v>
      </c>
      <c r="D23" s="13" t="s">
        <v>31</v>
      </c>
      <c r="E23" s="13" t="s">
        <v>50</v>
      </c>
      <c r="F23" s="13" t="s">
        <v>51</v>
      </c>
      <c r="G23" s="13" t="s">
        <v>52</v>
      </c>
      <c r="H23" s="1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4" t="s">
        <v>82</v>
      </c>
      <c r="B1" s="14" t="s">
        <v>83</v>
      </c>
      <c r="C1" s="14" t="s">
        <v>84</v>
      </c>
      <c r="D1" s="14" t="s">
        <v>85</v>
      </c>
      <c r="E1" s="14" t="s">
        <v>24</v>
      </c>
      <c r="F1" s="14" t="s">
        <v>86</v>
      </c>
      <c r="G1" s="14" t="s">
        <v>26</v>
      </c>
    </row>
    <row r="2" customFormat="false" ht="30" hidden="false" customHeight="true" outlineLevel="0" collapsed="false">
      <c r="A2" s="15" t="s">
        <v>87</v>
      </c>
      <c r="B2" s="15" t="s">
        <v>88</v>
      </c>
      <c r="C2" s="16" t="s">
        <v>89</v>
      </c>
      <c r="D2" s="15" t="s">
        <v>90</v>
      </c>
      <c r="E2" s="15" t="s">
        <v>91</v>
      </c>
      <c r="F2" s="16" t="s">
        <v>92</v>
      </c>
      <c r="G2" s="15" t="s">
        <v>31</v>
      </c>
    </row>
    <row r="3" customFormat="false" ht="30" hidden="false" customHeight="true" outlineLevel="0" collapsed="false">
      <c r="A3" s="17" t="s">
        <v>93</v>
      </c>
      <c r="B3" s="17" t="s">
        <v>88</v>
      </c>
      <c r="C3" s="18" t="s">
        <v>94</v>
      </c>
      <c r="D3" s="17" t="s">
        <v>90</v>
      </c>
      <c r="E3" s="17" t="s">
        <v>91</v>
      </c>
      <c r="F3" s="18" t="s">
        <v>95</v>
      </c>
      <c r="G3" s="17" t="s">
        <v>31</v>
      </c>
    </row>
    <row r="4" customFormat="false" ht="30" hidden="false" customHeight="true" outlineLevel="0" collapsed="false">
      <c r="A4" s="15" t="s">
        <v>96</v>
      </c>
      <c r="B4" s="15" t="s">
        <v>88</v>
      </c>
      <c r="C4" s="16" t="s">
        <v>97</v>
      </c>
      <c r="D4" s="15" t="s">
        <v>98</v>
      </c>
      <c r="E4" s="15" t="s">
        <v>91</v>
      </c>
      <c r="F4" s="16" t="s">
        <v>99</v>
      </c>
      <c r="G4" s="15" t="s">
        <v>31</v>
      </c>
    </row>
    <row r="5" customFormat="false" ht="30" hidden="false" customHeight="true" outlineLevel="0" collapsed="false">
      <c r="A5" s="17" t="s">
        <v>100</v>
      </c>
      <c r="B5" s="17" t="s">
        <v>101</v>
      </c>
      <c r="C5" s="18" t="s">
        <v>102</v>
      </c>
      <c r="D5" s="17" t="s">
        <v>103</v>
      </c>
      <c r="E5" s="17" t="s">
        <v>104</v>
      </c>
      <c r="F5" s="18" t="s">
        <v>105</v>
      </c>
      <c r="G5" s="17" t="s">
        <v>106</v>
      </c>
    </row>
    <row r="6" customFormat="false" ht="30" hidden="false" customHeight="true" outlineLevel="0" collapsed="false">
      <c r="A6" s="15" t="s">
        <v>107</v>
      </c>
      <c r="B6" s="15" t="s">
        <v>101</v>
      </c>
      <c r="C6" s="16" t="s">
        <v>108</v>
      </c>
      <c r="D6" s="15" t="s">
        <v>103</v>
      </c>
      <c r="E6" s="15" t="s">
        <v>91</v>
      </c>
      <c r="F6" s="16" t="s">
        <v>109</v>
      </c>
      <c r="G6" s="15" t="s">
        <v>106</v>
      </c>
    </row>
    <row r="7" customFormat="false" ht="30" hidden="false" customHeight="true" outlineLevel="0" collapsed="false">
      <c r="A7" s="17" t="s">
        <v>110</v>
      </c>
      <c r="B7" s="17" t="s">
        <v>101</v>
      </c>
      <c r="C7" s="18" t="s">
        <v>111</v>
      </c>
      <c r="D7" s="17" t="s">
        <v>98</v>
      </c>
      <c r="E7" s="17" t="s">
        <v>41</v>
      </c>
      <c r="F7" s="18" t="s">
        <v>112</v>
      </c>
      <c r="G7" s="17" t="s">
        <v>106</v>
      </c>
    </row>
    <row r="8" customFormat="false" ht="30" hidden="false" customHeight="true" outlineLevel="0" collapsed="false">
      <c r="A8" s="15" t="s">
        <v>113</v>
      </c>
      <c r="B8" s="15" t="s">
        <v>114</v>
      </c>
      <c r="C8" s="16" t="s">
        <v>115</v>
      </c>
      <c r="D8" s="15" t="s">
        <v>116</v>
      </c>
      <c r="E8" s="15" t="s">
        <v>50</v>
      </c>
      <c r="F8" s="16" t="s">
        <v>117</v>
      </c>
      <c r="G8" s="15" t="s">
        <v>118</v>
      </c>
    </row>
    <row r="9" customFormat="false" ht="30" hidden="false" customHeight="true" outlineLevel="0" collapsed="false">
      <c r="A9" s="17" t="s">
        <v>119</v>
      </c>
      <c r="B9" s="17" t="s">
        <v>114</v>
      </c>
      <c r="C9" s="18" t="s">
        <v>120</v>
      </c>
      <c r="D9" s="17" t="s">
        <v>121</v>
      </c>
      <c r="E9" s="17" t="s">
        <v>33</v>
      </c>
      <c r="F9" s="18" t="s">
        <v>122</v>
      </c>
      <c r="G9" s="17" t="s">
        <v>12</v>
      </c>
    </row>
    <row r="10" customFormat="false" ht="30" hidden="false" customHeight="true" outlineLevel="0" collapsed="false">
      <c r="A10" s="15" t="s">
        <v>123</v>
      </c>
      <c r="B10" s="15" t="s">
        <v>114</v>
      </c>
      <c r="C10" s="16" t="s">
        <v>124</v>
      </c>
      <c r="D10" s="15" t="s">
        <v>98</v>
      </c>
      <c r="E10" s="15" t="s">
        <v>41</v>
      </c>
      <c r="F10" s="16" t="s">
        <v>125</v>
      </c>
      <c r="G10" s="15" t="s">
        <v>118</v>
      </c>
    </row>
    <row r="11" customFormat="false" ht="30" hidden="false" customHeight="true" outlineLevel="0" collapsed="false">
      <c r="A11" s="17" t="s">
        <v>126</v>
      </c>
      <c r="B11" s="17" t="s">
        <v>114</v>
      </c>
      <c r="C11" s="18" t="s">
        <v>127</v>
      </c>
      <c r="D11" s="17" t="s">
        <v>116</v>
      </c>
      <c r="E11" s="17" t="s">
        <v>33</v>
      </c>
      <c r="F11" s="18" t="s">
        <v>128</v>
      </c>
      <c r="G11" s="17" t="s">
        <v>12</v>
      </c>
    </row>
    <row r="12" customFormat="false" ht="30" hidden="false" customHeight="true" outlineLevel="0" collapsed="false">
      <c r="A12" s="15" t="s">
        <v>129</v>
      </c>
      <c r="B12" s="15" t="s">
        <v>45</v>
      </c>
      <c r="C12" s="16" t="s">
        <v>130</v>
      </c>
      <c r="D12" s="15" t="s">
        <v>121</v>
      </c>
      <c r="E12" s="15" t="s">
        <v>131</v>
      </c>
      <c r="F12" s="16" t="s">
        <v>132</v>
      </c>
      <c r="G12" s="15" t="s">
        <v>34</v>
      </c>
    </row>
    <row r="13" customFormat="false" ht="30" hidden="false" customHeight="true" outlineLevel="0" collapsed="false">
      <c r="A13" s="17" t="s">
        <v>133</v>
      </c>
      <c r="B13" s="17" t="s">
        <v>45</v>
      </c>
      <c r="C13" s="18" t="s">
        <v>134</v>
      </c>
      <c r="D13" s="17" t="s">
        <v>103</v>
      </c>
      <c r="E13" s="17" t="s">
        <v>135</v>
      </c>
      <c r="F13" s="18" t="s">
        <v>136</v>
      </c>
      <c r="G13" s="17" t="s">
        <v>31</v>
      </c>
    </row>
    <row r="14" customFormat="false" ht="30" hidden="false" customHeight="true" outlineLevel="0" collapsed="false">
      <c r="A14" s="15" t="s">
        <v>137</v>
      </c>
      <c r="B14" s="15" t="s">
        <v>45</v>
      </c>
      <c r="C14" s="16" t="s">
        <v>138</v>
      </c>
      <c r="D14" s="15" t="s">
        <v>121</v>
      </c>
      <c r="E14" s="15" t="s">
        <v>139</v>
      </c>
      <c r="F14" s="16" t="s">
        <v>140</v>
      </c>
      <c r="G14" s="15" t="s">
        <v>31</v>
      </c>
    </row>
    <row r="15" customFormat="false" ht="30" hidden="false" customHeight="true" outlineLevel="0" collapsed="false">
      <c r="A15" s="17" t="s">
        <v>141</v>
      </c>
      <c r="B15" s="17" t="s">
        <v>45</v>
      </c>
      <c r="C15" s="18" t="s">
        <v>142</v>
      </c>
      <c r="D15" s="17" t="s">
        <v>143</v>
      </c>
      <c r="E15" s="17" t="s">
        <v>144</v>
      </c>
      <c r="F15" s="18" t="s">
        <v>109</v>
      </c>
      <c r="G15" s="17" t="s">
        <v>31</v>
      </c>
    </row>
    <row r="16" customFormat="false" ht="30" hidden="false" customHeight="true" outlineLevel="0" collapsed="false">
      <c r="A16" s="15" t="s">
        <v>145</v>
      </c>
      <c r="B16" s="15" t="s">
        <v>45</v>
      </c>
      <c r="C16" s="16" t="s">
        <v>146</v>
      </c>
      <c r="D16" s="15" t="s">
        <v>121</v>
      </c>
      <c r="E16" s="15" t="s">
        <v>147</v>
      </c>
      <c r="F16" s="16" t="s">
        <v>132</v>
      </c>
      <c r="G16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9" t="s">
        <v>148</v>
      </c>
      <c r="B1" s="19" t="s">
        <v>149</v>
      </c>
      <c r="C1" s="19" t="s">
        <v>150</v>
      </c>
      <c r="D1" s="19" t="s">
        <v>151</v>
      </c>
      <c r="E1" s="19" t="s">
        <v>152</v>
      </c>
    </row>
    <row r="2" customFormat="false" ht="45" hidden="false" customHeight="true" outlineLevel="0" collapsed="false">
      <c r="A2" s="20" t="s">
        <v>153</v>
      </c>
      <c r="B2" s="20" t="s">
        <v>154</v>
      </c>
      <c r="C2" s="20" t="s">
        <v>155</v>
      </c>
      <c r="D2" s="20" t="s">
        <v>156</v>
      </c>
      <c r="E2" s="20" t="s">
        <v>157</v>
      </c>
    </row>
    <row r="3" customFormat="false" ht="45" hidden="false" customHeight="true" outlineLevel="0" collapsed="false">
      <c r="A3" s="20" t="s">
        <v>158</v>
      </c>
      <c r="B3" s="20" t="s">
        <v>159</v>
      </c>
      <c r="C3" s="20" t="s">
        <v>160</v>
      </c>
      <c r="D3" s="20" t="s">
        <v>161</v>
      </c>
      <c r="E3" s="20" t="s">
        <v>162</v>
      </c>
    </row>
    <row r="4" customFormat="false" ht="45" hidden="false" customHeight="true" outlineLevel="0" collapsed="false">
      <c r="A4" s="20" t="s">
        <v>163</v>
      </c>
      <c r="B4" s="20" t="s">
        <v>164</v>
      </c>
      <c r="C4" s="20" t="s">
        <v>165</v>
      </c>
      <c r="D4" s="20" t="s">
        <v>166</v>
      </c>
      <c r="E4" s="2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2026-09-23T11:33:15Z</dcterms:created>
  <dc:creator>openpyxl</dc:creator>
  <dc:description/>
  <dc:language>en-US</dc:language>
  <cp:lastModifiedBy/>
  <dcterms:modified xsi:type="dcterms:W3CDTF">2026-09-23T11:33:16Z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